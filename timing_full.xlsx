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50"/>
  </bookViews>
  <sheets>
    <sheet name="Sheet1" sheetId="1" r:id="rId1"/>
    <sheet name="CurrentCalculation" sheetId="2" r:id="rId2"/>
    <sheet name="IRLEDParameters" sheetId="3" r:id="rId3"/>
  </sheets>
  <calcPr calcId="144525"/>
</workbook>
</file>

<file path=xl/sharedStrings.xml><?xml version="1.0" encoding="utf-8"?>
<sst xmlns="http://schemas.openxmlformats.org/spreadsheetml/2006/main" count="61" uniqueCount="55">
  <si>
    <t>Độ dài viên đạn</t>
  </si>
  <si>
    <t>Thời gian tồn tại của viên đạn (us)</t>
  </si>
  <si>
    <t xml:space="preserve">Thời gian một lần chụp ảnh (us) </t>
  </si>
  <si>
    <t>Duty cycle của IR LED</t>
  </si>
  <si>
    <t>Thời gian IR LED sáng (us)</t>
  </si>
  <si>
    <t>Dòng điện đi vào LED</t>
  </si>
  <si>
    <t>Tính toán mạch khuếch đại tín hiệu</t>
  </si>
  <si>
    <t>Dòng điện cung cấp cho IR LED (A)</t>
  </si>
  <si>
    <t>Chỉ dùng R &amp; Mạch so sánh</t>
  </si>
  <si>
    <t>Dùng Transimpedance Amplifier &amp; Mạch so sánh</t>
  </si>
  <si>
    <t>Cường độ bức xạ (mW/sr)</t>
  </si>
  <si>
    <t>Giá trị R tối đa để tránh bão hòa comparator (kOhm) - với VDD = 3V3</t>
  </si>
  <si>
    <t>Điện áp thiết kế với dòng min</t>
  </si>
  <si>
    <t>Khoảng cách (trục x) giữa LED và sensor (m)</t>
  </si>
  <si>
    <t>Giá trị R thiết kế (kOhm)</t>
  </si>
  <si>
    <t>Khoảng cách (trục y) giữa LED và sensor (m)</t>
  </si>
  <si>
    <t>Điện áp vào mạch so sánh min (mV)</t>
  </si>
  <si>
    <t>Băng thông thiết kế (Mhz)</t>
  </si>
  <si>
    <t>Góc phát &amp; Góc tới (radian)</t>
  </si>
  <si>
    <t>Điện áp vào mạch so sánh max (mV)</t>
  </si>
  <si>
    <t>Giá trị lớn nhất của tụ feedback (pF)</t>
  </si>
  <si>
    <t>Hệ số IR LED</t>
  </si>
  <si>
    <t>Ngưỡng so sánh đề nghị (mV) (50% ngưỡng min)</t>
  </si>
  <si>
    <t>Hằng số thời gian t (ns)</t>
  </si>
  <si>
    <t>Hệ số sensor</t>
  </si>
  <si>
    <t xml:space="preserve">Thời gian input rise MAX từ 0V tới ngưỡng so sánh (ns) </t>
  </si>
  <si>
    <t>Cường độ bức xạ nhận tại IR sensor (mW/cm2)</t>
  </si>
  <si>
    <t>Thời gian phản ứng MAX - thời gian để ánh sáng thay đổi (không có -&gt; có) tới khi CPLD nhận được tín hiệu thay đổi đó (us)</t>
  </si>
  <si>
    <t>Dòng điện output của IR Sensor (uA)</t>
  </si>
  <si>
    <t xml:space="preserve">Thời gian input rise MIN tới ngưỡng so sánh (ns) </t>
  </si>
  <si>
    <t>Dòng điện min (uA)</t>
  </si>
  <si>
    <t xml:space="preserve">Tổng thời gian phản ứng MIN - thời gian để ánh sáng thay đổi (không có -&gt; có) tới khi CPLD nhận được tín hiệu thay đổi đó (us)
</t>
  </si>
  <si>
    <t>Dòng điện max (uA)</t>
  </si>
  <si>
    <t xml:space="preserve">Thời gian input fall MIN từ giá trị cực đại tới ngưỡng so sánh (ns) </t>
  </si>
  <si>
    <t>Thời gian phản ứng MIN - thời gian để ánh sáng thay đổi từ (có -&gt; không có) tới khi CPLD nhận được tín hiệu thay đổi đó (us)</t>
  </si>
  <si>
    <t>Thời gian input fall MAX từ giá trị cực đại tới ngưỡng so sánh (ns)</t>
  </si>
  <si>
    <t>Thời gian phản ứng MAX - thời gian để ánh sáng thay đổi (có -&gt; không có) tới khi CPLD nhận được tín hiệu thay đổi đó (us)</t>
  </si>
  <si>
    <t>Tổng thời gian để TẤT CẢ Sensor có thể nhận được tín hiệu lần nữa (us)</t>
  </si>
  <si>
    <t>Giá thành (USD)</t>
  </si>
  <si>
    <t>Giá thành (tính cả sensor)</t>
  </si>
  <si>
    <t>K (Current - A)</t>
  </si>
  <si>
    <t>L (Radiant Intensity - mW/sr)</t>
  </si>
  <si>
    <t>Dùng R + Comparator</t>
  </si>
  <si>
    <t>Dùng Transimpedence Amplifier + Comparator</t>
  </si>
  <si>
    <t>Forward Current</t>
  </si>
  <si>
    <t>Typ. Intensity</t>
  </si>
  <si>
    <t>Giá trị tụ của Sensor (pF)</t>
  </si>
  <si>
    <t>Giá trị tụ input mạch so sánh (pF)</t>
  </si>
  <si>
    <t>Thời gian output rise của mạch so sánh (ns)</t>
  </si>
  <si>
    <t>Độ phân giải comparator - max (mV)</t>
  </si>
  <si>
    <t xml:space="preserve"> Độ rộng đường cong trễ (mV)</t>
  </si>
  <si>
    <t>Số sensor</t>
  </si>
  <si>
    <t>Thời gian output rise của sensor (RL = 50) (ns)</t>
  </si>
  <si>
    <t>IR LED</t>
  </si>
  <si>
    <t xml:space="preserve">IR Sensor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</si>
</sst>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Google Sans Text"/>
      <charset val="134"/>
    </font>
    <font>
      <sz val="11"/>
      <color theme="1"/>
      <name val="Google Sans Text"/>
      <charset val="134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0" borderId="4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0" fillId="7" borderId="2" xfId="0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145" zoomScaleNormal="145" workbookViewId="0">
      <selection activeCell="D17" sqref="D17"/>
    </sheetView>
  </sheetViews>
  <sheetFormatPr defaultColWidth="8.88888888888889" defaultRowHeight="15" outlineLevelRow="1" outlineLevelCol="4"/>
  <cols>
    <col min="1" max="1" width="13.8888888888889" customWidth="1"/>
    <col min="2" max="2" width="27.7777777777778" customWidth="1"/>
    <col min="3" max="3" width="25.5555555555556" customWidth="1"/>
    <col min="4" max="4" width="21.6666666666667" customWidth="1"/>
    <col min="5" max="5" width="20.2222222222222" customWidth="1"/>
    <col min="6" max="6" width="16.6666666666667" customWidth="1"/>
  </cols>
  <sheetData>
    <row r="1" spans="1:5">
      <c r="A1" t="s">
        <v>0</v>
      </c>
      <c r="B1" s="8" t="s">
        <v>1</v>
      </c>
      <c r="C1" t="s">
        <v>2</v>
      </c>
      <c r="D1" t="s">
        <v>3</v>
      </c>
      <c r="E1" t="s">
        <v>4</v>
      </c>
    </row>
    <row r="2" spans="1:5">
      <c r="A2">
        <v>0.01</v>
      </c>
      <c r="B2">
        <f>TRUNC(A2/300*1000000)</f>
        <v>33</v>
      </c>
      <c r="C2">
        <f>B2/3</f>
        <v>11</v>
      </c>
      <c r="D2">
        <v>50</v>
      </c>
      <c r="E2">
        <f>C2*D2/100</f>
        <v>5.5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30" zoomScaleNormal="130" workbookViewId="0">
      <selection activeCell="E19" sqref="E19"/>
    </sheetView>
  </sheetViews>
  <sheetFormatPr defaultColWidth="8.88888888888889" defaultRowHeight="15" outlineLevelCol="5"/>
  <cols>
    <col min="1" max="1" width="20.8592592592593" customWidth="1"/>
    <col min="2" max="2" width="21.837037037037" customWidth="1"/>
    <col min="3" max="3" width="37.437037037037" customWidth="1"/>
    <col min="4" max="4" width="22.9037037037037" style="8" customWidth="1"/>
    <col min="5" max="5" width="25.9851851851852" style="8" customWidth="1"/>
    <col min="6" max="6" width="18.2888888888889" style="8" customWidth="1"/>
    <col min="7" max="7" width="10.1481481481481" style="8" customWidth="1"/>
    <col min="8" max="8" width="24.5037037037037" customWidth="1"/>
    <col min="9" max="9" width="17.5851851851852" customWidth="1"/>
  </cols>
  <sheetData>
    <row r="1" spans="1:6">
      <c r="A1" s="7" t="s">
        <v>5</v>
      </c>
      <c r="B1" s="7"/>
      <c r="C1" s="7" t="s">
        <v>6</v>
      </c>
      <c r="D1" s="7"/>
      <c r="E1" s="7"/>
      <c r="F1" s="7"/>
    </row>
    <row r="2" ht="30" spans="1:6">
      <c r="A2" s="8" t="s">
        <v>7</v>
      </c>
      <c r="B2">
        <v>1.5</v>
      </c>
      <c r="C2" s="7" t="s">
        <v>8</v>
      </c>
      <c r="D2" s="7"/>
      <c r="E2" s="23" t="s">
        <v>9</v>
      </c>
      <c r="F2" s="23"/>
    </row>
    <row r="3" ht="30" spans="1:6">
      <c r="A3" t="s">
        <v>10</v>
      </c>
      <c r="B3">
        <f>VLOOKUP(B2,IRLEDParameters!A3:B7,2,FALSE)</f>
        <v>1525</v>
      </c>
      <c r="C3" s="9" t="s">
        <v>11</v>
      </c>
      <c r="D3" s="8">
        <f>TRUNC(3.6/B12*1000)</f>
        <v>453</v>
      </c>
      <c r="E3" s="8" t="s">
        <v>12</v>
      </c>
      <c r="F3" s="8">
        <f>D5</f>
        <v>622.237216528702</v>
      </c>
    </row>
    <row r="4" ht="45" spans="1:6">
      <c r="A4" s="10" t="s">
        <v>13</v>
      </c>
      <c r="B4">
        <v>0.53</v>
      </c>
      <c r="C4" s="11" t="s">
        <v>14</v>
      </c>
      <c r="D4" s="8">
        <v>200</v>
      </c>
      <c r="E4" s="8" t="s">
        <v>14</v>
      </c>
      <c r="F4" s="8">
        <f>D4</f>
        <v>200</v>
      </c>
    </row>
    <row r="5" ht="30" spans="1:6">
      <c r="A5" s="10" t="s">
        <v>15</v>
      </c>
      <c r="B5" s="8">
        <v>0.6</v>
      </c>
      <c r="C5" s="12" t="s">
        <v>16</v>
      </c>
      <c r="D5" s="8">
        <f>B11*D4</f>
        <v>622.237216528702</v>
      </c>
      <c r="E5" s="8" t="s">
        <v>17</v>
      </c>
      <c r="F5" s="8">
        <v>1</v>
      </c>
    </row>
    <row r="6" ht="30" spans="1:6">
      <c r="A6" s="13" t="s">
        <v>18</v>
      </c>
      <c r="B6" s="8">
        <f>ATAN(B4/B5)</f>
        <v>0.723530317533068</v>
      </c>
      <c r="C6" t="s">
        <v>19</v>
      </c>
      <c r="D6" s="8">
        <f>B12*D4</f>
        <v>1588.54166666667</v>
      </c>
      <c r="E6" s="13" t="s">
        <v>20</v>
      </c>
      <c r="F6" s="8">
        <f>1000/(F5*2*PI()*F4)</f>
        <v>0.795774715459477</v>
      </c>
    </row>
    <row r="7" ht="30" spans="1:6">
      <c r="A7" s="10" t="s">
        <v>21</v>
      </c>
      <c r="B7" s="8">
        <v>0.65</v>
      </c>
      <c r="C7" s="14" t="s">
        <v>22</v>
      </c>
      <c r="D7" s="8">
        <f>0.5*D5</f>
        <v>311.118608264351</v>
      </c>
      <c r="E7" s="13" t="s">
        <v>23</v>
      </c>
      <c r="F7" s="8">
        <f>0.35/F5*1000</f>
        <v>350</v>
      </c>
    </row>
    <row r="8" ht="30" spans="1:5">
      <c r="A8" s="10" t="s">
        <v>24</v>
      </c>
      <c r="B8" s="8">
        <v>2.6</v>
      </c>
      <c r="C8" s="15" t="s">
        <v>25</v>
      </c>
      <c r="D8" s="8">
        <f>D4*SUM(IRLEDParameters!D2:D3)*-LN(1-D7/D5)</f>
        <v>1081.30960167351</v>
      </c>
      <c r="E8" s="8">
        <f>SQRT(POWER(F7*-LN(1-D7/D5),2)+60*60)</f>
        <v>249.910972558189</v>
      </c>
    </row>
    <row r="9" ht="45" spans="1:5">
      <c r="A9" s="13" t="s">
        <v>26</v>
      </c>
      <c r="B9">
        <f>B3/(B5*B5)*POWER(COS(B6),(B7+B8))/1000</f>
        <v>1.65929924407654</v>
      </c>
      <c r="C9" s="16" t="s">
        <v>27</v>
      </c>
      <c r="D9" s="8">
        <f>(D8+IRLEDParameters!D4)/1000</f>
        <v>1.16130960167351</v>
      </c>
      <c r="E9" s="8">
        <f>(E8+IRLEDParameters!D4)/1000</f>
        <v>0.329910972558189</v>
      </c>
    </row>
    <row r="10" ht="30" spans="1:5">
      <c r="A10" s="13" t="s">
        <v>28</v>
      </c>
      <c r="B10">
        <f>1.5*B9/0.8</f>
        <v>3.11118608264351</v>
      </c>
      <c r="C10" s="17" t="s">
        <v>29</v>
      </c>
      <c r="D10" s="8">
        <f>-LN(1-D7/D6)*D4*SUM(IRLEDParameters!D2:D3)</f>
        <v>340.035682824562</v>
      </c>
      <c r="E10" s="8">
        <f>SQRT(POWER(-LN(1-D7/D6)*F7,2)+60*60)</f>
        <v>97.0575746851967</v>
      </c>
    </row>
    <row r="11" ht="60" spans="1:5">
      <c r="A11" s="18" t="s">
        <v>30</v>
      </c>
      <c r="B11">
        <f>1.5/0.8*B3/(B5*B5)*POWER(COS(ATAN(0.53/B5)),(B7+B8))/1000</f>
        <v>3.11118608264351</v>
      </c>
      <c r="C11" s="16" t="s">
        <v>31</v>
      </c>
      <c r="D11" s="8">
        <f>(D10+IRLEDParameters!D4)/1000</f>
        <v>0.420035682824562</v>
      </c>
      <c r="E11" s="8">
        <f>(E10+IRLEDParameters!D4)/1000</f>
        <v>0.177057574685197</v>
      </c>
    </row>
    <row r="12" ht="30" spans="1:5">
      <c r="A12" s="19" t="s">
        <v>32</v>
      </c>
      <c r="B12">
        <f>1.5/0.8*B3/(B5*B5)*POWER(COS(0),(B7+B8))/1000</f>
        <v>7.94270833333333</v>
      </c>
      <c r="C12" s="20" t="s">
        <v>33</v>
      </c>
      <c r="D12" s="8">
        <f>D4*SUM(IRLEDParameters!D2:D3)*-LN(D7/D5)</f>
        <v>1081.30960167351</v>
      </c>
      <c r="E12" s="8">
        <f>SQRT(POWER(F7*-LN(D7/D5),2)+60*60)</f>
        <v>249.910972558189</v>
      </c>
    </row>
    <row r="13" ht="45" spans="3:5">
      <c r="C13" s="20" t="s">
        <v>34</v>
      </c>
      <c r="D13" s="8">
        <f>(D12+IRLEDParameters!D4)/1000</f>
        <v>1.16130960167351</v>
      </c>
      <c r="E13" s="8">
        <f>(E12+IRLEDParameters!D4)/1000</f>
        <v>0.329910972558189</v>
      </c>
    </row>
    <row r="14" ht="30" spans="3:5">
      <c r="C14" s="20" t="s">
        <v>35</v>
      </c>
      <c r="D14" s="8">
        <f>-LN(D7/D6)*D4*SUM(IRLEDParameters!D2:D3)</f>
        <v>2543.42004857068</v>
      </c>
      <c r="E14" s="8">
        <f>SQRT(POWER(-LN(D7/D6)*F7,2)+60*60)</f>
        <v>573.784800959365</v>
      </c>
    </row>
    <row r="15" ht="45" spans="3:5">
      <c r="C15" s="20" t="s">
        <v>36</v>
      </c>
      <c r="D15" s="8">
        <f>(D14+IRLEDParameters!D4)/1000</f>
        <v>2.62342004857068</v>
      </c>
      <c r="E15" s="8">
        <f>(E14+IRLEDParameters!D4)/1000</f>
        <v>0.653784800959366</v>
      </c>
    </row>
    <row r="16" ht="30" spans="3:5">
      <c r="C16" s="21" t="s">
        <v>37</v>
      </c>
      <c r="D16" s="8">
        <f>D9+D15</f>
        <v>3.78472965024419</v>
      </c>
      <c r="E16" s="8">
        <f>E9+E15</f>
        <v>0.983695773517554</v>
      </c>
    </row>
    <row r="17" spans="3:5">
      <c r="C17" s="22" t="s">
        <v>38</v>
      </c>
      <c r="D17" s="8">
        <f>1.19/4*IRLEDParameters!D7</f>
        <v>148.75</v>
      </c>
      <c r="E17" s="8">
        <f>(1.19/4+1.77/2)*IRLEDParameters!D7</f>
        <v>591.25</v>
      </c>
    </row>
    <row r="18" spans="3:5">
      <c r="C18" t="s">
        <v>39</v>
      </c>
      <c r="D18" s="8">
        <f>D17+0.378*IRLEDParameters!D7</f>
        <v>337.75</v>
      </c>
      <c r="E18" s="8">
        <f>E17+0.378*IRLEDParameters!D7</f>
        <v>780.25</v>
      </c>
    </row>
  </sheetData>
  <mergeCells count="4">
    <mergeCell ref="A1:B1"/>
    <mergeCell ref="C1:F1"/>
    <mergeCell ref="C2:D2"/>
    <mergeCell ref="E2:F2"/>
  </mergeCells>
  <dataValidations count="1">
    <dataValidation type="list" allowBlank="1" showInputMessage="1" showErrorMessage="1" sqref="B2">
      <formula1>IRLEDParameters!$A$3:$A$7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B1" workbookViewId="0">
      <selection activeCell="D7" sqref="D7"/>
    </sheetView>
  </sheetViews>
  <sheetFormatPr defaultColWidth="8.88888888888889" defaultRowHeight="15" outlineLevelRow="7" outlineLevelCol="5"/>
  <cols>
    <col min="1" max="1" width="15.4444444444444" customWidth="1"/>
    <col min="2" max="2" width="15.3333333333333" customWidth="1"/>
    <col min="3" max="3" width="36.3333333333333" customWidth="1"/>
    <col min="4" max="4" width="13.3333333333333" customWidth="1"/>
    <col min="5" max="5" width="40.3333333333333" customWidth="1"/>
    <col min="6" max="6" width="22.3333333333333" customWidth="1"/>
  </cols>
  <sheetData>
    <row r="1" ht="36.75" spans="1:6">
      <c r="A1" s="1" t="s">
        <v>40</v>
      </c>
      <c r="B1" s="1" t="s">
        <v>41</v>
      </c>
      <c r="C1" s="2" t="s">
        <v>42</v>
      </c>
      <c r="D1" s="2"/>
      <c r="E1" s="7" t="s">
        <v>43</v>
      </c>
      <c r="F1" s="7"/>
    </row>
    <row r="2" ht="18.75" spans="1:6">
      <c r="A2" s="1" t="s">
        <v>44</v>
      </c>
      <c r="B2" s="1" t="s">
        <v>45</v>
      </c>
      <c r="C2" t="s">
        <v>46</v>
      </c>
      <c r="D2">
        <v>1.8</v>
      </c>
      <c r="E2" t="s">
        <v>46</v>
      </c>
      <c r="F2">
        <v>1.8</v>
      </c>
    </row>
    <row r="3" ht="18.75" spans="1:6">
      <c r="A3" s="3">
        <v>0.35</v>
      </c>
      <c r="B3" s="3">
        <v>365</v>
      </c>
      <c r="C3" t="s">
        <v>47</v>
      </c>
      <c r="D3">
        <v>6</v>
      </c>
      <c r="E3" t="s">
        <v>47</v>
      </c>
      <c r="F3">
        <v>6</v>
      </c>
    </row>
    <row r="4" ht="18.75" spans="1:6">
      <c r="A4" s="3">
        <v>1</v>
      </c>
      <c r="B4" s="3">
        <v>1025</v>
      </c>
      <c r="C4" t="s">
        <v>48</v>
      </c>
      <c r="D4">
        <v>80</v>
      </c>
      <c r="E4" t="s">
        <v>48</v>
      </c>
      <c r="F4">
        <v>80</v>
      </c>
    </row>
    <row r="5" ht="18.75" spans="1:6">
      <c r="A5" s="3">
        <v>1.5</v>
      </c>
      <c r="B5" s="3">
        <v>1525</v>
      </c>
      <c r="C5" t="s">
        <v>49</v>
      </c>
      <c r="D5">
        <v>10</v>
      </c>
      <c r="E5" t="s">
        <v>49</v>
      </c>
      <c r="F5">
        <v>10</v>
      </c>
    </row>
    <row r="6" ht="18.75" spans="1:6">
      <c r="A6" s="3">
        <v>3</v>
      </c>
      <c r="B6" s="3">
        <v>2060</v>
      </c>
      <c r="C6" t="s">
        <v>50</v>
      </c>
      <c r="D6">
        <v>5</v>
      </c>
      <c r="E6" t="s">
        <v>50</v>
      </c>
      <c r="F6">
        <v>5</v>
      </c>
    </row>
    <row r="7" ht="18.75" spans="1:6">
      <c r="A7" s="3">
        <v>5</v>
      </c>
      <c r="B7" s="3">
        <v>4620</v>
      </c>
      <c r="C7" t="s">
        <v>51</v>
      </c>
      <c r="D7">
        <v>500</v>
      </c>
      <c r="E7" t="s">
        <v>52</v>
      </c>
      <c r="F7">
        <v>60</v>
      </c>
    </row>
    <row r="8" spans="1:6">
      <c r="A8" s="4" t="s">
        <v>53</v>
      </c>
      <c r="B8" s="4"/>
      <c r="C8" s="5" t="s">
        <v>54</v>
      </c>
      <c r="D8" s="6"/>
      <c r="E8" s="6"/>
      <c r="F8" s="6"/>
    </row>
  </sheetData>
  <mergeCells count="4">
    <mergeCell ref="C1:D1"/>
    <mergeCell ref="E1:F1"/>
    <mergeCell ref="A8:B8"/>
    <mergeCell ref="C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CurrentCalculation</vt:lpstr>
      <vt:lpstr>IRLEDParameters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duc</cp:lastModifiedBy>
  <dcterms:created xsi:type="dcterms:W3CDTF">2026-01-24T00:26:00Z</dcterms:created>
  <dcterms:modified xsi:type="dcterms:W3CDTF">2026-01-25T23:38:43Z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